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.sequera\Desktop\mi-app-usdt\"/>
    </mc:Choice>
  </mc:AlternateContent>
  <xr:revisionPtr revIDLastSave="0" documentId="13_ncr:1_{99144DF8-178A-4D14-917C-8ECC73F6CD46}" xr6:coauthVersionLast="47" xr6:coauthVersionMax="47" xr10:uidLastSave="{00000000-0000-0000-0000-000000000000}"/>
  <bookViews>
    <workbookView xWindow="-120" yWindow="-120" windowWidth="15600" windowHeight="11040" xr2:uid="{2CB4EBC3-BB50-48CD-94F4-9D5ADFE0F7F9}"/>
  </bookViews>
  <sheets>
    <sheet name="BANCAMIG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2" l="1"/>
  <c r="H58" i="2"/>
  <c r="C2" i="2" a="1"/>
  <c r="C2" i="2" s="1"/>
  <c r="D2" i="2" s="1" a="1"/>
  <c r="D2" i="2" s="1"/>
  <c r="E2" i="2" s="1" a="1"/>
  <c r="E2" i="2" s="1"/>
  <c r="F2" i="2" l="1" a="1"/>
  <c r="F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<sst xmlns="http://schemas.openxmlformats.org/spreadsheetml/2006/main" count="7" uniqueCount="7">
  <si>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P2P</t>
  </si>
  <si>
    <t>MONTO EN USDT</t>
  </si>
  <si>
    <t>MONTO FINAL EN BS</t>
  </si>
  <si>
    <t>BCV$</t>
  </si>
  <si>
    <t>BCV PRECIO $</t>
  </si>
  <si>
    <t>COMISIO BINANCE</t>
  </si>
  <si>
    <t>MARGEN DE GANACIA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</si>
</sst>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/>
    <xf numFmtId="4" fontId="0" fillId="0" borderId="1" xfId="0" applyNumberFormat="1" applyBorder="1"/>
    <xf numFmtId="4" fontId="2" fillId="3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57368-CA61-4E04-B061-5EC82367DFF9}">
  <dimension ref="A1:H100"/>
  <sheetViews>
    <sheetView tabSelected="1" topLeftCell="A7" workbookViewId="0">
      <selection activeCell="H8" sqref="H8"/>
    </sheetView>
  </sheetViews>
  <sheetFormatPr baseColWidth="10" defaultRowHeight="15" x14ac:dyDescent="0.25"/>
  <cols>
    <col min="1" max="1" width="15.85546875" bestFit="1" customWidth="1"/>
    <col min="2" max="2" width="11.42578125" style="1"/>
    <col min="3" max="3" width="19.140625" style="1" bestFit="1" customWidth="1"/>
    <col min="4" max="4" width="11.42578125" style="1"/>
    <col min="5" max="5" width="17.140625" style="1" customWidth="1"/>
    <col min="6" max="6" width="22.7109375" style="1" customWidth="1"/>
  </cols>
  <sheetData>
    <row r="1" spans="1:8" x14ac:dyDescent="0.25">
      <c r="A1" s="4" t="s">
        <v>1</v>
      </c>
      <c r="B1" s="3" t="s">
        <v>0</v>
      </c>
      <c r="C1" s="3" t="s">
        <v>2</v>
      </c>
      <c r="D1" s="3" t="s">
        <v>3</v>
      </c>
      <c r="E1" s="3" t="s">
        <v>5</v>
      </c>
      <c r="F1" s="3" t="s">
        <v>6</v>
      </c>
    </row>
    <row r="2" spans="1:8" x14ac:dyDescent="0.25">
      <c r="A2" s="5">
        <v>700</v>
      </c>
      <c r="B2" s="2">
        <v>670</v>
      </c>
      <c r="C2" s="2" cm="1">
        <f t="array" ref="C2:C100">B2:B100*A2</f>
        <v>469000</v>
      </c>
      <c r="D2" s="2" cm="1">
        <f t="array" ref="D2:D100">C2:C100/A5</f>
        <v>767.59410801963998</v>
      </c>
      <c r="E2" s="2" cm="1">
        <f t="array" ref="E2:E100">D2:D100*0.91</f>
        <v>698.51063829787245</v>
      </c>
      <c r="F2" s="2" cm="1">
        <f t="array" ref="F2:F100">E2:E100-A2</f>
        <v>-1.4893617021275531</v>
      </c>
    </row>
    <row r="3" spans="1:8" x14ac:dyDescent="0.25">
      <c r="A3" s="6"/>
      <c r="B3" s="2">
        <v>671</v>
      </c>
      <c r="C3" s="2">
        <v>469700</v>
      </c>
      <c r="D3" s="2">
        <v>768.73977086743048</v>
      </c>
      <c r="E3" s="2">
        <v>699.55319148936178</v>
      </c>
      <c r="F3" s="2">
        <v>-0.44680851063822047</v>
      </c>
    </row>
    <row r="4" spans="1:8" x14ac:dyDescent="0.25">
      <c r="A4" s="7" t="s">
        <v>4</v>
      </c>
      <c r="B4" s="2">
        <v>672</v>
      </c>
      <c r="C4" s="2">
        <v>470400</v>
      </c>
      <c r="D4" s="2">
        <v>769.88543371522098</v>
      </c>
      <c r="E4" s="2">
        <v>700.59574468085111</v>
      </c>
      <c r="F4" s="2">
        <v>0.59574468085111221</v>
      </c>
    </row>
    <row r="5" spans="1:8" x14ac:dyDescent="0.25">
      <c r="A5" s="8">
        <v>611</v>
      </c>
      <c r="B5" s="2">
        <v>673</v>
      </c>
      <c r="C5" s="2">
        <v>471100</v>
      </c>
      <c r="D5" s="2">
        <v>771.03109656301149</v>
      </c>
      <c r="E5" s="2">
        <v>701.63829787234044</v>
      </c>
      <c r="F5" s="2">
        <v>1.6382978723404449</v>
      </c>
    </row>
    <row r="6" spans="1:8" x14ac:dyDescent="0.25">
      <c r="B6" s="2">
        <v>674</v>
      </c>
      <c r="C6" s="2">
        <v>471800</v>
      </c>
      <c r="D6" s="2">
        <v>772.17675941080199</v>
      </c>
      <c r="E6" s="2">
        <v>702.68085106382989</v>
      </c>
      <c r="F6" s="2">
        <v>2.6808510638298912</v>
      </c>
    </row>
    <row r="7" spans="1:8" x14ac:dyDescent="0.25">
      <c r="B7" s="2">
        <v>675</v>
      </c>
      <c r="C7" s="2">
        <v>472500</v>
      </c>
      <c r="D7" s="2">
        <v>773.3224222585925</v>
      </c>
      <c r="E7" s="2">
        <v>703.72340425531922</v>
      </c>
      <c r="F7" s="2">
        <v>3.7234042553192239</v>
      </c>
      <c r="H7">
        <f>500000/713</f>
        <v>701.26227208976161</v>
      </c>
    </row>
    <row r="8" spans="1:8" x14ac:dyDescent="0.25">
      <c r="B8" s="2">
        <v>676</v>
      </c>
      <c r="C8" s="2">
        <v>473200</v>
      </c>
      <c r="D8" s="2">
        <v>774.468085106383</v>
      </c>
      <c r="E8" s="2">
        <v>704.76595744680856</v>
      </c>
      <c r="F8" s="2">
        <v>4.7659574468085566</v>
      </c>
    </row>
    <row r="9" spans="1:8" x14ac:dyDescent="0.25">
      <c r="B9" s="2">
        <v>677</v>
      </c>
      <c r="C9" s="2">
        <v>473900</v>
      </c>
      <c r="D9" s="2">
        <v>775.6137479541735</v>
      </c>
      <c r="E9" s="2">
        <v>705.80851063829789</v>
      </c>
      <c r="F9" s="2">
        <v>5.8085106382978893</v>
      </c>
    </row>
    <row r="10" spans="1:8" x14ac:dyDescent="0.25">
      <c r="B10" s="2">
        <v>678</v>
      </c>
      <c r="C10" s="2">
        <v>474600</v>
      </c>
      <c r="D10" s="2">
        <v>776.75941080196401</v>
      </c>
      <c r="E10" s="2">
        <v>706.85106382978722</v>
      </c>
      <c r="F10" s="2">
        <v>6.8510638297872219</v>
      </c>
    </row>
    <row r="11" spans="1:8" x14ac:dyDescent="0.25">
      <c r="B11" s="2">
        <v>679</v>
      </c>
      <c r="C11" s="2">
        <v>475300</v>
      </c>
      <c r="D11" s="2">
        <v>777.90507364975451</v>
      </c>
      <c r="E11" s="2">
        <v>707.89361702127667</v>
      </c>
      <c r="F11" s="2">
        <v>7.8936170212766683</v>
      </c>
    </row>
    <row r="12" spans="1:8" x14ac:dyDescent="0.25">
      <c r="B12" s="2">
        <v>680</v>
      </c>
      <c r="C12" s="2">
        <v>476000</v>
      </c>
      <c r="D12" s="2">
        <v>779.05073649754502</v>
      </c>
      <c r="E12" s="2">
        <v>708.936170212766</v>
      </c>
      <c r="F12" s="2">
        <v>8.936170212766001</v>
      </c>
    </row>
    <row r="13" spans="1:8" x14ac:dyDescent="0.25">
      <c r="B13" s="2">
        <v>681</v>
      </c>
      <c r="C13" s="2">
        <v>476700</v>
      </c>
      <c r="D13" s="2">
        <v>780.19639934533552</v>
      </c>
      <c r="E13" s="2">
        <v>709.97872340425533</v>
      </c>
      <c r="F13" s="2">
        <v>9.9787234042553337</v>
      </c>
    </row>
    <row r="14" spans="1:8" x14ac:dyDescent="0.25">
      <c r="B14" s="2">
        <v>682</v>
      </c>
      <c r="C14" s="2">
        <v>477400</v>
      </c>
      <c r="D14" s="2">
        <v>781.34206219312603</v>
      </c>
      <c r="E14" s="2">
        <v>711.02127659574467</v>
      </c>
      <c r="F14" s="2">
        <v>11.021276595744666</v>
      </c>
    </row>
    <row r="15" spans="1:8" x14ac:dyDescent="0.25">
      <c r="B15" s="2">
        <v>683</v>
      </c>
      <c r="C15" s="2">
        <v>478100</v>
      </c>
      <c r="D15" s="2">
        <v>782.48772504091653</v>
      </c>
      <c r="E15" s="2">
        <v>712.06382978723411</v>
      </c>
      <c r="F15" s="2">
        <v>12.063829787234113</v>
      </c>
    </row>
    <row r="16" spans="1:8" x14ac:dyDescent="0.25">
      <c r="B16" s="2">
        <v>684</v>
      </c>
      <c r="C16" s="2">
        <v>478800</v>
      </c>
      <c r="D16" s="2">
        <v>783.63338788870703</v>
      </c>
      <c r="E16" s="2">
        <v>713.10638297872345</v>
      </c>
      <c r="F16" s="2">
        <v>13.106382978723445</v>
      </c>
    </row>
    <row r="17" spans="2:6" x14ac:dyDescent="0.25">
      <c r="B17" s="2">
        <v>685</v>
      </c>
      <c r="C17" s="2">
        <v>479500</v>
      </c>
      <c r="D17" s="2">
        <v>784.77905073649754</v>
      </c>
      <c r="E17" s="2">
        <v>714.14893617021278</v>
      </c>
      <c r="F17" s="2">
        <v>14.148936170212778</v>
      </c>
    </row>
    <row r="18" spans="2:6" x14ac:dyDescent="0.25">
      <c r="B18" s="2">
        <v>686</v>
      </c>
      <c r="C18" s="2">
        <v>480200</v>
      </c>
      <c r="D18" s="2">
        <v>785.92471358428804</v>
      </c>
      <c r="E18" s="2">
        <v>715.19148936170211</v>
      </c>
      <c r="F18" s="2">
        <v>15.191489361702111</v>
      </c>
    </row>
    <row r="19" spans="2:6" x14ac:dyDescent="0.25">
      <c r="B19" s="2">
        <v>687</v>
      </c>
      <c r="C19" s="2">
        <v>480900</v>
      </c>
      <c r="D19" s="2">
        <v>787.07037643207855</v>
      </c>
      <c r="E19" s="2">
        <v>716.23404255319156</v>
      </c>
      <c r="F19" s="2">
        <v>16.234042553191557</v>
      </c>
    </row>
    <row r="20" spans="2:6" x14ac:dyDescent="0.25">
      <c r="B20" s="2">
        <v>688</v>
      </c>
      <c r="C20" s="2">
        <v>481600</v>
      </c>
      <c r="D20" s="2">
        <v>788.21603927986905</v>
      </c>
      <c r="E20" s="2">
        <v>717.27659574468089</v>
      </c>
      <c r="F20" s="2">
        <v>17.27659574468089</v>
      </c>
    </row>
    <row r="21" spans="2:6" x14ac:dyDescent="0.25">
      <c r="B21" s="2">
        <v>689</v>
      </c>
      <c r="C21" s="2">
        <v>482300</v>
      </c>
      <c r="D21" s="2">
        <v>789.36170212765956</v>
      </c>
      <c r="E21" s="2">
        <v>718.31914893617022</v>
      </c>
      <c r="F21" s="2">
        <v>18.319148936170222</v>
      </c>
    </row>
    <row r="22" spans="2:6" x14ac:dyDescent="0.25">
      <c r="B22" s="2">
        <v>690</v>
      </c>
      <c r="C22" s="2">
        <v>483000</v>
      </c>
      <c r="D22" s="2">
        <v>790.50736497545006</v>
      </c>
      <c r="E22" s="2">
        <v>719.36170212765956</v>
      </c>
      <c r="F22" s="2">
        <v>19.361702127659555</v>
      </c>
    </row>
    <row r="23" spans="2:6" x14ac:dyDescent="0.25">
      <c r="B23" s="2">
        <v>691</v>
      </c>
      <c r="C23" s="2">
        <v>483700</v>
      </c>
      <c r="D23" s="2">
        <v>791.65302782324056</v>
      </c>
      <c r="E23" s="2">
        <v>720.40425531914889</v>
      </c>
      <c r="F23" s="2">
        <v>20.404255319148888</v>
      </c>
    </row>
    <row r="24" spans="2:6" x14ac:dyDescent="0.25">
      <c r="B24" s="2">
        <v>692</v>
      </c>
      <c r="C24" s="2">
        <v>484400</v>
      </c>
      <c r="D24" s="2">
        <v>792.79869067103107</v>
      </c>
      <c r="E24" s="2">
        <v>721.44680851063833</v>
      </c>
      <c r="F24" s="2">
        <v>21.446808510638334</v>
      </c>
    </row>
    <row r="25" spans="2:6" x14ac:dyDescent="0.25">
      <c r="B25" s="2">
        <v>693</v>
      </c>
      <c r="C25" s="2">
        <v>485100</v>
      </c>
      <c r="D25" s="2">
        <v>793.94435351882157</v>
      </c>
      <c r="E25" s="2">
        <v>722.48936170212767</v>
      </c>
      <c r="F25" s="2">
        <v>22.489361702127667</v>
      </c>
    </row>
    <row r="26" spans="2:6" x14ac:dyDescent="0.25">
      <c r="B26" s="2">
        <v>694</v>
      </c>
      <c r="C26" s="2">
        <v>485800</v>
      </c>
      <c r="D26" s="2">
        <v>795.09001636661208</v>
      </c>
      <c r="E26" s="2">
        <v>723.531914893617</v>
      </c>
      <c r="F26" s="2">
        <v>23.531914893617</v>
      </c>
    </row>
    <row r="27" spans="2:6" x14ac:dyDescent="0.25">
      <c r="B27" s="2">
        <v>695</v>
      </c>
      <c r="C27" s="2">
        <v>486500</v>
      </c>
      <c r="D27" s="2">
        <v>796.23567921440258</v>
      </c>
      <c r="E27" s="2">
        <v>724.57446808510633</v>
      </c>
      <c r="F27" s="2">
        <v>24.574468085106332</v>
      </c>
    </row>
    <row r="28" spans="2:6" x14ac:dyDescent="0.25">
      <c r="B28" s="2">
        <v>696</v>
      </c>
      <c r="C28" s="2">
        <v>487200</v>
      </c>
      <c r="D28" s="2">
        <v>797.38134206219308</v>
      </c>
      <c r="E28" s="2">
        <v>725.61702127659578</v>
      </c>
      <c r="F28" s="2">
        <v>25.617021276595779</v>
      </c>
    </row>
    <row r="29" spans="2:6" x14ac:dyDescent="0.25">
      <c r="B29" s="2">
        <v>697</v>
      </c>
      <c r="C29" s="2">
        <v>487900</v>
      </c>
      <c r="D29" s="2">
        <v>798.52700490998359</v>
      </c>
      <c r="E29" s="2">
        <v>726.65957446808511</v>
      </c>
      <c r="F29" s="2">
        <v>26.659574468085111</v>
      </c>
    </row>
    <row r="30" spans="2:6" x14ac:dyDescent="0.25">
      <c r="B30" s="2">
        <v>698</v>
      </c>
      <c r="C30" s="2">
        <v>488600</v>
      </c>
      <c r="D30" s="2">
        <v>799.67266775777409</v>
      </c>
      <c r="E30" s="2">
        <v>727.70212765957444</v>
      </c>
      <c r="F30" s="2">
        <v>27.702127659574444</v>
      </c>
    </row>
    <row r="31" spans="2:6" x14ac:dyDescent="0.25">
      <c r="B31" s="2">
        <v>699</v>
      </c>
      <c r="C31" s="2">
        <v>489300</v>
      </c>
      <c r="D31" s="2">
        <v>800.8183306055646</v>
      </c>
      <c r="E31" s="2">
        <v>728.74468085106378</v>
      </c>
      <c r="F31" s="2">
        <v>28.744680851063777</v>
      </c>
    </row>
    <row r="32" spans="2:6" x14ac:dyDescent="0.25">
      <c r="B32" s="2">
        <v>700</v>
      </c>
      <c r="C32" s="2">
        <v>490000</v>
      </c>
      <c r="D32" s="2">
        <v>801.9639934533551</v>
      </c>
      <c r="E32" s="2">
        <v>729.78723404255322</v>
      </c>
      <c r="F32" s="2">
        <v>29.787234042553223</v>
      </c>
    </row>
    <row r="33" spans="2:6" x14ac:dyDescent="0.25">
      <c r="B33" s="2">
        <v>701</v>
      </c>
      <c r="C33" s="2">
        <v>490700</v>
      </c>
      <c r="D33" s="2">
        <v>803.10965630114572</v>
      </c>
      <c r="E33" s="2">
        <v>730.82978723404267</v>
      </c>
      <c r="F33" s="2">
        <v>30.829787234042669</v>
      </c>
    </row>
    <row r="34" spans="2:6" x14ac:dyDescent="0.25">
      <c r="B34" s="9">
        <v>702</v>
      </c>
      <c r="C34" s="9">
        <v>491400</v>
      </c>
      <c r="D34" s="9">
        <v>804.25531914893622</v>
      </c>
      <c r="E34" s="9">
        <v>731.872340425532</v>
      </c>
      <c r="F34" s="9">
        <v>31.872340425532002</v>
      </c>
    </row>
    <row r="35" spans="2:6" x14ac:dyDescent="0.25">
      <c r="B35" s="2">
        <v>703</v>
      </c>
      <c r="C35" s="2">
        <v>492100</v>
      </c>
      <c r="D35" s="2">
        <v>805.40098199672673</v>
      </c>
      <c r="E35" s="2">
        <v>732.91489361702133</v>
      </c>
      <c r="F35" s="2">
        <v>32.914893617021335</v>
      </c>
    </row>
    <row r="36" spans="2:6" x14ac:dyDescent="0.25">
      <c r="B36" s="2">
        <v>704</v>
      </c>
      <c r="C36" s="2">
        <v>492800</v>
      </c>
      <c r="D36" s="2">
        <v>806.54664484451723</v>
      </c>
      <c r="E36" s="2">
        <v>733.95744680851067</v>
      </c>
      <c r="F36" s="2">
        <v>33.957446808510667</v>
      </c>
    </row>
    <row r="37" spans="2:6" x14ac:dyDescent="0.25">
      <c r="B37" s="2">
        <v>705</v>
      </c>
      <c r="C37" s="2">
        <v>493500</v>
      </c>
      <c r="D37" s="2">
        <v>807.69230769230774</v>
      </c>
      <c r="E37" s="2">
        <v>735.00000000000011</v>
      </c>
      <c r="F37" s="2">
        <v>35.000000000000114</v>
      </c>
    </row>
    <row r="38" spans="2:6" x14ac:dyDescent="0.25">
      <c r="B38" s="2">
        <v>706</v>
      </c>
      <c r="C38" s="2">
        <v>494200</v>
      </c>
      <c r="D38" s="2">
        <v>808.83797054009824</v>
      </c>
      <c r="E38" s="2">
        <v>736.04255319148945</v>
      </c>
      <c r="F38" s="2">
        <v>36.042553191489446</v>
      </c>
    </row>
    <row r="39" spans="2:6" x14ac:dyDescent="0.25">
      <c r="B39" s="2">
        <v>707</v>
      </c>
      <c r="C39" s="2">
        <v>494900</v>
      </c>
      <c r="D39" s="2">
        <v>809.98363338788874</v>
      </c>
      <c r="E39" s="2">
        <v>737.08510638297878</v>
      </c>
      <c r="F39" s="2">
        <v>37.085106382978779</v>
      </c>
    </row>
    <row r="40" spans="2:6" x14ac:dyDescent="0.25">
      <c r="B40" s="2">
        <v>708</v>
      </c>
      <c r="C40" s="2">
        <v>495600</v>
      </c>
      <c r="D40" s="2">
        <v>811.12929623567925</v>
      </c>
      <c r="E40" s="2">
        <v>738.12765957446811</v>
      </c>
      <c r="F40" s="2">
        <v>38.127659574468112</v>
      </c>
    </row>
    <row r="41" spans="2:6" x14ac:dyDescent="0.25">
      <c r="B41" s="2">
        <v>709</v>
      </c>
      <c r="C41" s="2">
        <v>496300</v>
      </c>
      <c r="D41" s="2">
        <v>812.27495908346975</v>
      </c>
      <c r="E41" s="2">
        <v>739.17021276595744</v>
      </c>
      <c r="F41" s="2">
        <v>39.170212765957444</v>
      </c>
    </row>
    <row r="42" spans="2:6" x14ac:dyDescent="0.25">
      <c r="B42" s="2">
        <v>710</v>
      </c>
      <c r="C42" s="2">
        <v>497000</v>
      </c>
      <c r="D42" s="2">
        <v>813.42062193126026</v>
      </c>
      <c r="E42" s="2">
        <v>740.21276595744689</v>
      </c>
      <c r="F42" s="2">
        <v>40.212765957446891</v>
      </c>
    </row>
    <row r="43" spans="2:6" x14ac:dyDescent="0.25">
      <c r="B43" s="2">
        <v>711</v>
      </c>
      <c r="C43" s="2">
        <v>497700</v>
      </c>
      <c r="D43" s="2">
        <v>814.56628477905076</v>
      </c>
      <c r="E43" s="2">
        <v>741.25531914893622</v>
      </c>
      <c r="F43" s="2">
        <v>41.255319148936223</v>
      </c>
    </row>
    <row r="44" spans="2:6" x14ac:dyDescent="0.25">
      <c r="B44" s="2">
        <v>712</v>
      </c>
      <c r="C44" s="2">
        <v>498400</v>
      </c>
      <c r="D44" s="2">
        <v>815.71194762684127</v>
      </c>
      <c r="E44" s="2">
        <v>742.29787234042556</v>
      </c>
      <c r="F44" s="2">
        <v>42.297872340425556</v>
      </c>
    </row>
    <row r="45" spans="2:6" x14ac:dyDescent="0.25">
      <c r="B45" s="2">
        <v>713</v>
      </c>
      <c r="C45" s="2">
        <v>499100</v>
      </c>
      <c r="D45" s="2">
        <v>816.85761047463177</v>
      </c>
      <c r="E45" s="2">
        <v>743.34042553191489</v>
      </c>
      <c r="F45" s="2">
        <v>43.340425531914889</v>
      </c>
    </row>
    <row r="46" spans="2:6" x14ac:dyDescent="0.25">
      <c r="B46" s="2">
        <v>714</v>
      </c>
      <c r="C46" s="2">
        <v>499800</v>
      </c>
      <c r="D46" s="2">
        <v>818.00327332242227</v>
      </c>
      <c r="E46" s="2">
        <v>744.38297872340434</v>
      </c>
      <c r="F46" s="2">
        <v>44.382978723404335</v>
      </c>
    </row>
    <row r="47" spans="2:6" x14ac:dyDescent="0.25">
      <c r="B47" s="2">
        <v>715</v>
      </c>
      <c r="C47" s="2">
        <v>500500</v>
      </c>
      <c r="D47" s="2">
        <v>819.14893617021278</v>
      </c>
      <c r="E47" s="2">
        <v>745.42553191489367</v>
      </c>
      <c r="F47" s="2">
        <v>45.425531914893668</v>
      </c>
    </row>
    <row r="48" spans="2:6" x14ac:dyDescent="0.25">
      <c r="B48" s="2">
        <v>716</v>
      </c>
      <c r="C48" s="2">
        <v>501200</v>
      </c>
      <c r="D48" s="2">
        <v>820.29459901800328</v>
      </c>
      <c r="E48" s="2">
        <v>746.468085106383</v>
      </c>
      <c r="F48" s="2">
        <v>46.468085106383</v>
      </c>
    </row>
    <row r="49" spans="2:8" x14ac:dyDescent="0.25">
      <c r="B49" s="2">
        <v>717</v>
      </c>
      <c r="C49" s="2">
        <v>501900</v>
      </c>
      <c r="D49" s="2">
        <v>821.44026186579379</v>
      </c>
      <c r="E49" s="2">
        <v>747.51063829787233</v>
      </c>
      <c r="F49" s="2">
        <v>47.510638297872333</v>
      </c>
    </row>
    <row r="50" spans="2:8" x14ac:dyDescent="0.25">
      <c r="B50" s="2">
        <v>718</v>
      </c>
      <c r="C50" s="2">
        <v>502600</v>
      </c>
      <c r="D50" s="2">
        <v>822.58592471358429</v>
      </c>
      <c r="E50" s="2">
        <v>748.55319148936178</v>
      </c>
      <c r="F50" s="2">
        <v>48.55319148936178</v>
      </c>
    </row>
    <row r="51" spans="2:8" x14ac:dyDescent="0.25">
      <c r="B51" s="2">
        <v>719</v>
      </c>
      <c r="C51" s="2">
        <v>503300</v>
      </c>
      <c r="D51" s="2">
        <v>823.73158756137479</v>
      </c>
      <c r="E51" s="2">
        <v>749.59574468085111</v>
      </c>
      <c r="F51" s="2">
        <v>49.595744680851112</v>
      </c>
    </row>
    <row r="52" spans="2:8" x14ac:dyDescent="0.25">
      <c r="B52" s="2">
        <v>720</v>
      </c>
      <c r="C52" s="2">
        <v>504000</v>
      </c>
      <c r="D52" s="2">
        <v>824.8772504091653</v>
      </c>
      <c r="E52" s="2">
        <v>750.63829787234044</v>
      </c>
      <c r="F52" s="2">
        <v>50.638297872340445</v>
      </c>
    </row>
    <row r="53" spans="2:8" x14ac:dyDescent="0.25">
      <c r="B53" s="2">
        <v>721</v>
      </c>
      <c r="C53" s="2">
        <v>504700</v>
      </c>
      <c r="D53" s="2">
        <v>826.0229132569558</v>
      </c>
      <c r="E53" s="2">
        <v>751.68085106382978</v>
      </c>
      <c r="F53" s="2">
        <v>51.680851063829778</v>
      </c>
    </row>
    <row r="54" spans="2:8" x14ac:dyDescent="0.25">
      <c r="B54" s="2">
        <v>722</v>
      </c>
      <c r="C54" s="2">
        <v>505400</v>
      </c>
      <c r="D54" s="2">
        <v>827.16857610474631</v>
      </c>
      <c r="E54" s="2">
        <v>752.72340425531911</v>
      </c>
      <c r="F54" s="2">
        <v>52.72340425531911</v>
      </c>
    </row>
    <row r="55" spans="2:8" x14ac:dyDescent="0.25">
      <c r="B55" s="2">
        <v>723</v>
      </c>
      <c r="C55" s="2">
        <v>506100</v>
      </c>
      <c r="D55" s="2">
        <v>828.31423895253681</v>
      </c>
      <c r="E55" s="2">
        <v>753.76595744680856</v>
      </c>
      <c r="F55" s="2">
        <v>53.765957446808557</v>
      </c>
    </row>
    <row r="56" spans="2:8" x14ac:dyDescent="0.25">
      <c r="B56" s="2">
        <v>724</v>
      </c>
      <c r="C56" s="2">
        <v>506800</v>
      </c>
      <c r="D56" s="2">
        <v>829.45990180032732</v>
      </c>
      <c r="E56" s="2">
        <v>754.80851063829789</v>
      </c>
      <c r="F56" s="2">
        <v>54.808510638297889</v>
      </c>
    </row>
    <row r="57" spans="2:8" x14ac:dyDescent="0.25">
      <c r="B57" s="2">
        <v>725</v>
      </c>
      <c r="C57" s="2">
        <v>507500</v>
      </c>
      <c r="D57" s="2">
        <v>830.60556464811782</v>
      </c>
      <c r="E57" s="2">
        <v>755.85106382978722</v>
      </c>
      <c r="F57" s="2">
        <v>55.851063829787222</v>
      </c>
    </row>
    <row r="58" spans="2:8" x14ac:dyDescent="0.25">
      <c r="B58" s="2">
        <v>726</v>
      </c>
      <c r="C58" s="2">
        <v>508200</v>
      </c>
      <c r="D58" s="2">
        <v>831.75122749590832</v>
      </c>
      <c r="E58" s="2">
        <v>756.89361702127655</v>
      </c>
      <c r="F58" s="2">
        <v>56.893617021276555</v>
      </c>
      <c r="H58">
        <f>800*611</f>
        <v>488800</v>
      </c>
    </row>
    <row r="59" spans="2:8" x14ac:dyDescent="0.25">
      <c r="B59" s="2">
        <v>727</v>
      </c>
      <c r="C59" s="2">
        <v>508900</v>
      </c>
      <c r="D59" s="2">
        <v>832.89689034369883</v>
      </c>
      <c r="E59" s="2">
        <v>757.936170212766</v>
      </c>
      <c r="F59" s="2">
        <v>57.936170212766001</v>
      </c>
    </row>
    <row r="60" spans="2:8" x14ac:dyDescent="0.25">
      <c r="B60" s="2">
        <v>728</v>
      </c>
      <c r="C60" s="2">
        <v>509600</v>
      </c>
      <c r="D60" s="2">
        <v>834.04255319148933</v>
      </c>
      <c r="E60" s="2">
        <v>758.97872340425533</v>
      </c>
      <c r="F60" s="2">
        <v>58.978723404255334</v>
      </c>
    </row>
    <row r="61" spans="2:8" x14ac:dyDescent="0.25">
      <c r="B61" s="2">
        <v>729</v>
      </c>
      <c r="C61" s="2">
        <v>510300</v>
      </c>
      <c r="D61" s="2">
        <v>835.18821603927984</v>
      </c>
      <c r="E61" s="2">
        <v>760.02127659574467</v>
      </c>
      <c r="F61" s="2">
        <v>60.021276595744666</v>
      </c>
    </row>
    <row r="62" spans="2:8" x14ac:dyDescent="0.25">
      <c r="B62" s="2">
        <v>730</v>
      </c>
      <c r="C62" s="2">
        <v>511000</v>
      </c>
      <c r="D62" s="2">
        <v>836.33387888707034</v>
      </c>
      <c r="E62" s="2">
        <v>761.063829787234</v>
      </c>
      <c r="F62" s="2">
        <v>61.063829787233999</v>
      </c>
    </row>
    <row r="63" spans="2:8" x14ac:dyDescent="0.25">
      <c r="B63" s="2">
        <v>731</v>
      </c>
      <c r="C63" s="2">
        <v>511700</v>
      </c>
      <c r="D63" s="2">
        <v>837.47954173486085</v>
      </c>
      <c r="E63" s="2">
        <v>762.10638297872345</v>
      </c>
      <c r="F63" s="2">
        <v>62.106382978723445</v>
      </c>
    </row>
    <row r="64" spans="2:8" x14ac:dyDescent="0.25">
      <c r="B64" s="2">
        <v>732</v>
      </c>
      <c r="C64" s="2">
        <v>512400</v>
      </c>
      <c r="D64" s="2">
        <v>838.62520458265135</v>
      </c>
      <c r="E64" s="2">
        <v>763.14893617021278</v>
      </c>
      <c r="F64" s="2">
        <v>63.148936170212778</v>
      </c>
    </row>
    <row r="65" spans="2:6" x14ac:dyDescent="0.25">
      <c r="B65" s="2">
        <v>733</v>
      </c>
      <c r="C65" s="2">
        <v>513100</v>
      </c>
      <c r="D65" s="2">
        <v>839.77086743044185</v>
      </c>
      <c r="E65" s="2">
        <v>764.19148936170211</v>
      </c>
      <c r="F65" s="2">
        <v>64.191489361702111</v>
      </c>
    </row>
    <row r="66" spans="2:6" x14ac:dyDescent="0.25">
      <c r="B66" s="2">
        <v>734</v>
      </c>
      <c r="C66" s="2">
        <v>513800</v>
      </c>
      <c r="D66" s="2">
        <v>840.91653027823236</v>
      </c>
      <c r="E66" s="2">
        <v>765.23404255319144</v>
      </c>
      <c r="F66" s="2">
        <v>65.234042553191443</v>
      </c>
    </row>
    <row r="67" spans="2:6" x14ac:dyDescent="0.25">
      <c r="B67" s="2">
        <v>735</v>
      </c>
      <c r="C67" s="2">
        <v>514500</v>
      </c>
      <c r="D67" s="2">
        <v>842.06219312602286</v>
      </c>
      <c r="E67" s="2">
        <v>766.27659574468078</v>
      </c>
      <c r="F67" s="2">
        <v>66.276595744680776</v>
      </c>
    </row>
    <row r="68" spans="2:6" x14ac:dyDescent="0.25">
      <c r="B68" s="2">
        <v>736</v>
      </c>
      <c r="C68" s="2">
        <v>515200</v>
      </c>
      <c r="D68" s="2">
        <v>843.20785597381337</v>
      </c>
      <c r="E68" s="2">
        <v>767.31914893617022</v>
      </c>
      <c r="F68" s="2">
        <v>67.319148936170222</v>
      </c>
    </row>
    <row r="69" spans="2:6" x14ac:dyDescent="0.25">
      <c r="B69" s="2">
        <v>737</v>
      </c>
      <c r="C69" s="2">
        <v>515900</v>
      </c>
      <c r="D69" s="2">
        <v>844.35351882160398</v>
      </c>
      <c r="E69" s="2">
        <v>768.36170212765967</v>
      </c>
      <c r="F69" s="2">
        <v>68.361702127659669</v>
      </c>
    </row>
    <row r="70" spans="2:6" x14ac:dyDescent="0.25">
      <c r="B70" s="2">
        <v>738</v>
      </c>
      <c r="C70" s="2">
        <v>516600</v>
      </c>
      <c r="D70" s="2">
        <v>845.49918166939449</v>
      </c>
      <c r="E70" s="2">
        <v>769.404255319149</v>
      </c>
      <c r="F70" s="2">
        <v>69.404255319149001</v>
      </c>
    </row>
    <row r="71" spans="2:6" x14ac:dyDescent="0.25">
      <c r="B71" s="2">
        <v>739</v>
      </c>
      <c r="C71" s="2">
        <v>517300</v>
      </c>
      <c r="D71" s="2">
        <v>846.64484451718499</v>
      </c>
      <c r="E71" s="2">
        <v>770.44680851063833</v>
      </c>
      <c r="F71" s="2">
        <v>70.446808510638334</v>
      </c>
    </row>
    <row r="72" spans="2:6" x14ac:dyDescent="0.25">
      <c r="B72" s="2">
        <v>740</v>
      </c>
      <c r="C72" s="2">
        <v>518000</v>
      </c>
      <c r="D72" s="2">
        <v>847.7905073649755</v>
      </c>
      <c r="E72" s="2">
        <v>771.48936170212778</v>
      </c>
      <c r="F72" s="2">
        <v>71.489361702127781</v>
      </c>
    </row>
    <row r="73" spans="2:6" x14ac:dyDescent="0.25">
      <c r="B73" s="2">
        <v>741</v>
      </c>
      <c r="C73" s="2">
        <v>518700</v>
      </c>
      <c r="D73" s="2">
        <v>848.936170212766</v>
      </c>
      <c r="E73" s="2">
        <v>772.53191489361711</v>
      </c>
      <c r="F73" s="2">
        <v>72.531914893617113</v>
      </c>
    </row>
    <row r="74" spans="2:6" x14ac:dyDescent="0.25">
      <c r="B74" s="2">
        <v>742</v>
      </c>
      <c r="C74" s="2">
        <v>519400</v>
      </c>
      <c r="D74" s="2">
        <v>850.08183306055651</v>
      </c>
      <c r="E74" s="2">
        <v>773.57446808510645</v>
      </c>
      <c r="F74" s="2">
        <v>73.574468085106446</v>
      </c>
    </row>
    <row r="75" spans="2:6" x14ac:dyDescent="0.25">
      <c r="B75" s="2">
        <v>743</v>
      </c>
      <c r="C75" s="2">
        <v>520100</v>
      </c>
      <c r="D75" s="2">
        <v>851.22749590834701</v>
      </c>
      <c r="E75" s="2">
        <v>774.61702127659578</v>
      </c>
      <c r="F75" s="2">
        <v>74.617021276595779</v>
      </c>
    </row>
    <row r="76" spans="2:6" x14ac:dyDescent="0.25">
      <c r="B76" s="2">
        <v>744</v>
      </c>
      <c r="C76" s="2">
        <v>520800</v>
      </c>
      <c r="D76" s="2">
        <v>852.37315875613751</v>
      </c>
      <c r="E76" s="2">
        <v>775.65957446808511</v>
      </c>
      <c r="F76" s="2">
        <v>75.659574468085111</v>
      </c>
    </row>
    <row r="77" spans="2:6" x14ac:dyDescent="0.25">
      <c r="B77" s="2">
        <v>745</v>
      </c>
      <c r="C77" s="2">
        <v>521500</v>
      </c>
      <c r="D77" s="2">
        <v>853.51882160392802</v>
      </c>
      <c r="E77" s="2">
        <v>776.70212765957456</v>
      </c>
      <c r="F77" s="2">
        <v>76.702127659574558</v>
      </c>
    </row>
    <row r="78" spans="2:6" x14ac:dyDescent="0.25">
      <c r="B78" s="2">
        <v>746</v>
      </c>
      <c r="C78" s="2">
        <v>522200</v>
      </c>
      <c r="D78" s="2">
        <v>854.66448445171852</v>
      </c>
      <c r="E78" s="2">
        <v>777.74468085106389</v>
      </c>
      <c r="F78" s="2">
        <v>77.74468085106389</v>
      </c>
    </row>
    <row r="79" spans="2:6" x14ac:dyDescent="0.25">
      <c r="B79" s="2">
        <v>747</v>
      </c>
      <c r="C79" s="2">
        <v>522900</v>
      </c>
      <c r="D79" s="2">
        <v>855.81014729950903</v>
      </c>
      <c r="E79" s="2">
        <v>778.78723404255322</v>
      </c>
      <c r="F79" s="2">
        <v>78.787234042553223</v>
      </c>
    </row>
    <row r="80" spans="2:6" x14ac:dyDescent="0.25">
      <c r="B80" s="2">
        <v>748</v>
      </c>
      <c r="C80" s="2">
        <v>523600</v>
      </c>
      <c r="D80" s="2">
        <v>856.95581014729953</v>
      </c>
      <c r="E80" s="2">
        <v>779.82978723404256</v>
      </c>
      <c r="F80" s="2">
        <v>79.829787234042556</v>
      </c>
    </row>
    <row r="81" spans="2:6" x14ac:dyDescent="0.25">
      <c r="B81" s="2">
        <v>749</v>
      </c>
      <c r="C81" s="2">
        <v>524300</v>
      </c>
      <c r="D81" s="2">
        <v>858.10147299509003</v>
      </c>
      <c r="E81" s="2">
        <v>780.872340425532</v>
      </c>
      <c r="F81" s="2">
        <v>80.872340425532002</v>
      </c>
    </row>
    <row r="82" spans="2:6" x14ac:dyDescent="0.25">
      <c r="B82" s="2">
        <v>750</v>
      </c>
      <c r="C82" s="2">
        <v>525000</v>
      </c>
      <c r="D82" s="2">
        <v>859.24713584288054</v>
      </c>
      <c r="E82" s="2">
        <v>781.91489361702133</v>
      </c>
      <c r="F82" s="2">
        <v>81.914893617021335</v>
      </c>
    </row>
    <row r="83" spans="2:6" x14ac:dyDescent="0.25">
      <c r="B83" s="2">
        <v>751</v>
      </c>
      <c r="C83" s="2">
        <v>525700</v>
      </c>
      <c r="D83" s="2">
        <v>860.39279869067104</v>
      </c>
      <c r="E83" s="2">
        <v>782.95744680851067</v>
      </c>
      <c r="F83" s="2">
        <v>82.957446808510667</v>
      </c>
    </row>
    <row r="84" spans="2:6" x14ac:dyDescent="0.25">
      <c r="B84" s="2">
        <v>752</v>
      </c>
      <c r="C84" s="2">
        <v>526400</v>
      </c>
      <c r="D84" s="2">
        <v>861.53846153846155</v>
      </c>
      <c r="E84" s="2">
        <v>784</v>
      </c>
      <c r="F84" s="2">
        <v>84</v>
      </c>
    </row>
    <row r="85" spans="2:6" x14ac:dyDescent="0.25">
      <c r="B85" s="2">
        <v>753</v>
      </c>
      <c r="C85" s="2">
        <v>527100</v>
      </c>
      <c r="D85" s="2">
        <v>862.68412438625205</v>
      </c>
      <c r="E85" s="2">
        <v>785.04255319148945</v>
      </c>
      <c r="F85" s="2">
        <v>85.042553191489446</v>
      </c>
    </row>
    <row r="86" spans="2:6" x14ac:dyDescent="0.25">
      <c r="B86" s="2">
        <v>754</v>
      </c>
      <c r="C86" s="2">
        <v>527800</v>
      </c>
      <c r="D86" s="2">
        <v>863.82978723404256</v>
      </c>
      <c r="E86" s="2">
        <v>786.08510638297878</v>
      </c>
      <c r="F86" s="2">
        <v>86.085106382978779</v>
      </c>
    </row>
    <row r="87" spans="2:6" x14ac:dyDescent="0.25">
      <c r="B87" s="2">
        <v>755</v>
      </c>
      <c r="C87" s="2">
        <v>528500</v>
      </c>
      <c r="D87" s="2">
        <v>864.97545008183306</v>
      </c>
      <c r="E87" s="2">
        <v>787.12765957446811</v>
      </c>
      <c r="F87" s="2">
        <v>87.127659574468112</v>
      </c>
    </row>
    <row r="88" spans="2:6" x14ac:dyDescent="0.25">
      <c r="B88" s="2">
        <v>756</v>
      </c>
      <c r="C88" s="2">
        <v>529200</v>
      </c>
      <c r="D88" s="2">
        <v>866.12111292962356</v>
      </c>
      <c r="E88" s="2">
        <v>788.17021276595744</v>
      </c>
      <c r="F88" s="2">
        <v>88.170212765957444</v>
      </c>
    </row>
    <row r="89" spans="2:6" x14ac:dyDescent="0.25">
      <c r="B89" s="2">
        <v>757</v>
      </c>
      <c r="C89" s="2">
        <v>529900</v>
      </c>
      <c r="D89" s="2">
        <v>867.26677577741407</v>
      </c>
      <c r="E89" s="2">
        <v>789.21276595744678</v>
      </c>
      <c r="F89" s="2">
        <v>89.212765957446777</v>
      </c>
    </row>
    <row r="90" spans="2:6" x14ac:dyDescent="0.25">
      <c r="B90" s="2">
        <v>758</v>
      </c>
      <c r="C90" s="2">
        <v>530600</v>
      </c>
      <c r="D90" s="2">
        <v>868.41243862520457</v>
      </c>
      <c r="E90" s="2">
        <v>790.25531914893622</v>
      </c>
      <c r="F90" s="2">
        <v>90.255319148936223</v>
      </c>
    </row>
    <row r="91" spans="2:6" x14ac:dyDescent="0.25">
      <c r="B91" s="2">
        <v>759</v>
      </c>
      <c r="C91" s="2">
        <v>531300</v>
      </c>
      <c r="D91" s="2">
        <v>869.55810147299508</v>
      </c>
      <c r="E91" s="2">
        <v>791.29787234042556</v>
      </c>
      <c r="F91" s="2">
        <v>91.297872340425556</v>
      </c>
    </row>
    <row r="92" spans="2:6" x14ac:dyDescent="0.25">
      <c r="B92" s="2">
        <v>760</v>
      </c>
      <c r="C92" s="2">
        <v>532000</v>
      </c>
      <c r="D92" s="2">
        <v>870.70376432078558</v>
      </c>
      <c r="E92" s="2">
        <v>792.34042553191489</v>
      </c>
      <c r="F92" s="2">
        <v>92.340425531914889</v>
      </c>
    </row>
    <row r="93" spans="2:6" x14ac:dyDescent="0.25">
      <c r="B93" s="2">
        <v>761</v>
      </c>
      <c r="C93" s="2">
        <v>532700</v>
      </c>
      <c r="D93" s="2">
        <v>871.84942716857609</v>
      </c>
      <c r="E93" s="2">
        <v>793.38297872340422</v>
      </c>
      <c r="F93" s="2">
        <v>93.382978723404221</v>
      </c>
    </row>
    <row r="94" spans="2:6" x14ac:dyDescent="0.25">
      <c r="B94" s="2">
        <v>762</v>
      </c>
      <c r="C94" s="2">
        <v>533400</v>
      </c>
      <c r="D94" s="2">
        <v>872.99509001636659</v>
      </c>
      <c r="E94" s="2">
        <v>794.42553191489367</v>
      </c>
      <c r="F94" s="2">
        <v>94.425531914893668</v>
      </c>
    </row>
    <row r="95" spans="2:6" x14ac:dyDescent="0.25">
      <c r="B95" s="2">
        <v>763</v>
      </c>
      <c r="C95" s="2">
        <v>534100</v>
      </c>
      <c r="D95" s="2">
        <v>874.14075286415709</v>
      </c>
      <c r="E95" s="2">
        <v>795.468085106383</v>
      </c>
      <c r="F95" s="2">
        <v>95.468085106383</v>
      </c>
    </row>
    <row r="96" spans="2:6" x14ac:dyDescent="0.25">
      <c r="B96" s="2">
        <v>764</v>
      </c>
      <c r="C96" s="2">
        <v>534800</v>
      </c>
      <c r="D96" s="2">
        <v>875.2864157119476</v>
      </c>
      <c r="E96" s="2">
        <v>796.51063829787233</v>
      </c>
      <c r="F96" s="2">
        <v>96.510638297872333</v>
      </c>
    </row>
    <row r="97" spans="2:6" x14ac:dyDescent="0.25">
      <c r="B97" s="2">
        <v>765</v>
      </c>
      <c r="C97" s="2">
        <v>535500</v>
      </c>
      <c r="D97" s="2">
        <v>876.4320785597381</v>
      </c>
      <c r="E97" s="2">
        <v>797.55319148936167</v>
      </c>
      <c r="F97" s="2">
        <v>97.553191489361666</v>
      </c>
    </row>
    <row r="98" spans="2:6" x14ac:dyDescent="0.25">
      <c r="B98" s="2">
        <v>766</v>
      </c>
      <c r="C98" s="2">
        <v>536200</v>
      </c>
      <c r="D98" s="2">
        <v>877.57774140752861</v>
      </c>
      <c r="E98" s="2">
        <v>798.59574468085111</v>
      </c>
      <c r="F98" s="2">
        <v>98.595744680851112</v>
      </c>
    </row>
    <row r="99" spans="2:6" x14ac:dyDescent="0.25">
      <c r="B99" s="2">
        <v>767</v>
      </c>
      <c r="C99" s="2">
        <v>536900</v>
      </c>
      <c r="D99" s="2">
        <v>878.72340425531911</v>
      </c>
      <c r="E99" s="2">
        <v>799.63829787234044</v>
      </c>
      <c r="F99" s="2">
        <v>99.638297872340445</v>
      </c>
    </row>
    <row r="100" spans="2:6" x14ac:dyDescent="0.25">
      <c r="B100" s="2">
        <v>768</v>
      </c>
      <c r="C100" s="2">
        <v>537600</v>
      </c>
      <c r="D100" s="2">
        <v>879.86906710310961</v>
      </c>
      <c r="E100" s="2">
        <v>800.68085106382978</v>
      </c>
      <c r="F100" s="2">
        <v>100.68085106382978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BANCAMIGA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Anthony Sequera Rozo</dc:creator>
  <cp:lastModifiedBy>Nick Anthony Sequera Rozo</cp:lastModifiedBy>
  <dcterms:created xsi:type="dcterms:W3CDTF">2026-05-20T14:59:42Z</dcterms:created>
  <dcterms:modified xsi:type="dcterms:W3CDTF">2026-06-05T14:02:29Z</dcterms:modified>
</cp:coreProperties>
</file>